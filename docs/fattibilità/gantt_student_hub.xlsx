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<sst xmlns="http://schemas.openxmlformats.org/spreadsheetml/2006/main" count="86" uniqueCount="58">
  <si>
    <t xml:space="preserve">Student Hub — ISISS Valle Seriana</t>
  </si>
  <si>
    <t xml:space="preserve">Project Start: 19 October 2026</t>
  </si>
  <si>
    <t xml:space="preserve">Month</t>
  </si>
  <si>
    <t xml:space="preserve">Gantt v1.1.0</t>
  </si>
  <si>
    <t xml:space="preserve">Week</t>
  </si>
  <si>
    <t xml:space="preserve">Days</t>
  </si>
  <si>
    <t xml:space="preserve">Weeks #</t>
  </si>
  <si>
    <t xml:space="preserve">Hours #</t>
  </si>
  <si>
    <t xml:space="preserve">Cost €</t>
  </si>
  <si>
    <t xml:space="preserve">TASK</t>
  </si>
  <si>
    <t xml:space="preserve">ASSIGNED</t>
  </si>
  <si>
    <t xml:space="preserve">%</t>
  </si>
  <si>
    <t xml:space="preserve">START </t>
  </si>
  <si>
    <t xml:space="preserve">END</t>
  </si>
  <si>
    <t xml:space="preserve">Intro — Pianificazione</t>
  </si>
  <si>
    <t xml:space="preserve">Compilare documentazione GitHub (README, roadmap)</t>
  </si>
  <si>
    <t xml:space="preserve">Ale M.</t>
  </si>
  <si>
    <t xml:space="preserve">Scelta stack tecnologico e hosting</t>
  </si>
  <si>
    <t xml:space="preserve">Team</t>
  </si>
  <si>
    <t xml:space="preserve">Database theory design (modello ER, schema)</t>
  </si>
  <si>
    <t xml:space="preserve">Mattia S.</t>
  </si>
  <si>
    <t xml:space="preserve">Security design allineato a GDPR (dati minori, minimizzazione)</t>
  </si>
  <si>
    <t xml:space="preserve">Ibra C.</t>
  </si>
  <si>
    <t xml:space="preserve">Phase 1 — Foundation</t>
  </si>
  <si>
    <t xml:space="preserve">Setup repository (CI, CONTRIBUTING, issue template)</t>
  </si>
  <si>
    <t xml:space="preserve">Architettura iniziale</t>
  </si>
  <si>
    <t xml:space="preserve">Database e migrazioni</t>
  </si>
  <si>
    <t xml:space="preserve">Autenticazione sicura</t>
  </si>
  <si>
    <t xml:space="preserve">Gestione utenti e ruoli/permessi (RBAC)</t>
  </si>
  <si>
    <t xml:space="preserve">Phase 2 — Core Features</t>
  </si>
  <si>
    <t xml:space="preserve">Materiali didattici (upload, filtri per materia/classe)</t>
  </si>
  <si>
    <t xml:space="preserve">Ricerca strutturata</t>
  </si>
  <si>
    <t xml:space="preserve">Marketplace libri</t>
  </si>
  <si>
    <t xml:space="preserve">Eventi</t>
  </si>
  <si>
    <t xml:space="preserve">Idee e proposte</t>
  </si>
  <si>
    <t xml:space="preserve">Sondaggi</t>
  </si>
  <si>
    <t xml:space="preserve">Phase 3 — Community</t>
  </si>
  <si>
    <t xml:space="preserve">Commenti e votazioni</t>
  </si>
  <si>
    <t xml:space="preserve">Segnalazioni e moderazione</t>
  </si>
  <si>
    <t xml:space="preserve">Notifiche</t>
  </si>
  <si>
    <t xml:space="preserve">Vista calendario eventi</t>
  </si>
  <si>
    <t xml:space="preserve">Phase 4 — Hardening</t>
  </si>
  <si>
    <t xml:space="preserve">Security review</t>
  </si>
  <si>
    <t xml:space="preserve">Test automatici e performance testing</t>
  </si>
  <si>
    <t xml:space="preserve">Accessibilità</t>
  </si>
  <si>
    <t xml:space="preserve">Privacy review (GDPR, utenti minorenni)</t>
  </si>
  <si>
    <t xml:space="preserve">Documentazione finale</t>
  </si>
  <si>
    <t xml:space="preserve">Phase 5 — Public Release</t>
  </si>
  <si>
    <t xml:space="preserve">Beta testing con studenti</t>
  </si>
  <si>
    <t xml:space="preserve">Raccolta feedback degli studenti</t>
  </si>
  <si>
    <t xml:space="preserve">Correzione dei problemi</t>
  </si>
  <si>
    <t xml:space="preserve">Prima release stabile e scelta licenza</t>
  </si>
  <si>
    <t xml:space="preserve">Componenti:</t>
  </si>
  <si>
    <t xml:space="preserve">Hours x Week:</t>
  </si>
  <si>
    <t xml:space="preserve">h</t>
  </si>
  <si>
    <t xml:space="preserve">Costo Risorse Interne:</t>
  </si>
  <si>
    <t xml:space="preserve">€/h</t>
  </si>
  <si>
    <t xml:space="preserve">Costo Risorse Esterne:</t>
  </si>
</sst>
</file>

<file path=xl/styles.xml><?xml version="1.0" encoding="utf-8"?>
<styleSheet xmlns="http://schemas.openxmlformats.org/spreadsheetml/2006/main">
  <numFmts count="6">
    <numFmt numFmtId="164" formatCode="[$-409]d\-mmm;@"/>
    <numFmt numFmtId="165" formatCode="General"/>
    <numFmt numFmtId="166" formatCode="[$-409]mmmmm;@"/>
    <numFmt numFmtId="167" formatCode="d\-mmm"/>
    <numFmt numFmtId="168" formatCode="0%"/>
    <numFmt numFmtId="169" formatCode="#,##0.00\ [$€-410]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5"/>
      <color theme="1"/>
      <name val="Aptos Narrow"/>
      <family val="2"/>
      <charset val="1"/>
    </font>
    <font>
      <sz val="18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13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5"/>
      <color theme="1"/>
      <name val="Aptos Narrow"/>
      <family val="2"/>
      <charset val="1"/>
    </font>
    <font>
      <sz val="13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5"/>
      <color theme="1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6" tint="0.7999"/>
        <bgColor rgb="FFD9F2D0"/>
      </patternFill>
    </fill>
    <fill>
      <patternFill patternType="solid">
        <fgColor theme="0" tint="-0.05"/>
        <bgColor rgb="FFEFF9EB"/>
      </patternFill>
    </fill>
    <fill>
      <patternFill patternType="solid">
        <fgColor theme="9" tint="0.7999"/>
        <bgColor rgb="FFC2F1C8"/>
      </patternFill>
    </fill>
    <fill>
      <patternFill patternType="solid">
        <fgColor rgb="FFEFF9EB"/>
        <bgColor rgb="FFF2F2F2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15"/>
        <bgColor rgb="FFD9F2D0"/>
      </patternFill>
    </fill>
    <fill>
      <patternFill patternType="solid">
        <fgColor theme="0" tint="-0.25"/>
        <bgColor rgb="FFA6A6A6"/>
      </patternFill>
    </fill>
    <fill>
      <patternFill patternType="solid">
        <fgColor theme="1" tint="0.4999"/>
        <bgColor rgb="FF666699"/>
      </patternFill>
    </fill>
    <fill>
      <patternFill patternType="solid">
        <fgColor theme="2" tint="-0.75"/>
        <bgColor rgb="FF333300"/>
      </patternFill>
    </fill>
    <fill>
      <patternFill patternType="solid">
        <fgColor rgb="FFFEE0DE"/>
        <bgColor rgb="FFF2F2F2"/>
      </patternFill>
    </fill>
    <fill>
      <patternFill patternType="solid">
        <fgColor theme="8" tint="0.5999"/>
        <bgColor rgb="FFCC99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1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1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9999FF"/>
        </patternFill>
      </fill>
    </dxf>
    <dxf>
      <fill>
        <patternFill>
          <bgColor rgb="FF6666FF"/>
        </patternFill>
      </fill>
    </dxf>
    <dxf>
      <numFmt numFmtId="164" formatCode="[$-409]d\-mmm;@"/>
      <border diagonalUp="false" diagonalDown="false">
        <left style="thin">
          <color theme="8" tint="0.3999"/>
        </left>
        <right style="thin">
          <color theme="8" tint="0.3999"/>
        </right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FF9EB"/>
      <rgbColor rgb="FFD9F2D0"/>
      <rgbColor rgb="FF660066"/>
      <rgbColor rgb="FFD86E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2F1C8"/>
      <rgbColor rgb="FFFFFF99"/>
      <rgbColor rgb="FF99CCFF"/>
      <rgbColor rgb="FFE59EDD"/>
      <rgbColor rgb="FFCC99FF"/>
      <rgbColor rgb="FFFEE0DE"/>
      <rgbColor rgb="FF66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U52"/>
  <sheetViews>
    <sheetView showFormulas="false" showGridLines="false" showRowColHeaders="true" showZeros="true" rightToLeft="false" tabSelected="true" showOutlineSymbols="true" defaultGridColor="true" view="normal" topLeftCell="B1" colorId="64" zoomScale="58" zoomScaleNormal="58" zoomScalePageLayoutView="100" workbookViewId="0">
      <selection pane="topLeft" activeCell="L45" activeCellId="0" sqref="L45"/>
    </sheetView>
  </sheetViews>
  <sheetFormatPr defaultColWidth="8.60546875" defaultRowHeight="14.25" customHeight="false" zeroHeight="false" outlineLevelRow="0" outlineLevelCol="0"/>
  <cols>
    <col collapsed="false" customWidth="true" hidden="false" outlineLevel="0" max="1" min="1" style="1" width="2.34"/>
    <col collapsed="false" customWidth="true" hidden="false" outlineLevel="0" max="2" min="2" style="1" width="6.11"/>
    <col collapsed="false" customWidth="true" hidden="false" outlineLevel="0" max="3" min="3" style="1" width="58.53"/>
    <col collapsed="false" customWidth="true" hidden="false" outlineLevel="0" max="4" min="4" style="1" width="13.22"/>
    <col collapsed="false" customWidth="true" hidden="false" outlineLevel="0" max="5" min="5" style="1" width="9.44"/>
    <col collapsed="false" customWidth="true" hidden="false" outlineLevel="0" max="6" min="6" style="1" width="10.44"/>
    <col collapsed="false" customWidth="true" hidden="false" outlineLevel="0" max="7" min="7" style="1" width="10.67"/>
    <col collapsed="false" customWidth="true" hidden="false" outlineLevel="0" max="9" min="9" style="2" width="5.56"/>
    <col collapsed="false" customWidth="true" hidden="false" outlineLevel="0" max="43" min="10" style="2" width="6.78"/>
    <col collapsed="false" customWidth="true" hidden="false" outlineLevel="0" max="49" min="45" style="1" width="13.78"/>
  </cols>
  <sheetData>
    <row r="2" customFormat="false" ht="27" hidden="false" customHeight="true" outlineLevel="0" collapsed="false">
      <c r="C2" s="3" t="s">
        <v>0</v>
      </c>
      <c r="D2" s="3"/>
      <c r="E2" s="4"/>
    </row>
    <row r="3" customFormat="false" ht="14.25" hidden="false" customHeight="true" outlineLevel="0" collapsed="false">
      <c r="C3" s="5" t="s">
        <v>1</v>
      </c>
      <c r="D3" s="5"/>
      <c r="H3" s="6" t="s">
        <v>2</v>
      </c>
      <c r="I3" s="7" t="str">
        <f aca="false">TEXT(I5,"MMM")</f>
        <v>Oct</v>
      </c>
      <c r="J3" s="7"/>
      <c r="K3" s="7" t="str">
        <f aca="false">TEXT(K5,"MMM")</f>
        <v>Nov</v>
      </c>
      <c r="L3" s="7"/>
      <c r="M3" s="7"/>
      <c r="N3" s="7"/>
      <c r="O3" s="7"/>
      <c r="P3" s="7" t="str">
        <f aca="false">TEXT(P5,"MMM")</f>
        <v>Dec</v>
      </c>
      <c r="Q3" s="7"/>
      <c r="R3" s="7"/>
      <c r="S3" s="7"/>
      <c r="T3" s="7" t="str">
        <f aca="false">TEXT(T5,"MMM")</f>
        <v>Jan</v>
      </c>
      <c r="U3" s="7"/>
      <c r="V3" s="7"/>
      <c r="W3" s="7"/>
      <c r="X3" s="7" t="str">
        <f aca="false">TEXT(X5,"MMM")</f>
        <v>Feb</v>
      </c>
      <c r="Y3" s="7"/>
      <c r="Z3" s="7"/>
      <c r="AA3" s="7"/>
      <c r="AB3" s="7" t="str">
        <f aca="false">TEXT(AB5,"MMM")</f>
        <v>Mar</v>
      </c>
      <c r="AC3" s="7"/>
      <c r="AD3" s="7"/>
      <c r="AE3" s="7"/>
      <c r="AF3" s="7"/>
      <c r="AG3" s="7" t="str">
        <f aca="false">TEXT(AG5,"MMM")</f>
        <v>Apr</v>
      </c>
      <c r="AH3" s="7"/>
      <c r="AI3" s="7"/>
      <c r="AJ3" s="7"/>
      <c r="AK3" s="7" t="str">
        <f aca="false">TEXT(AK5,"MMM")</f>
        <v>May</v>
      </c>
      <c r="AL3" s="7"/>
      <c r="AM3" s="7"/>
      <c r="AN3" s="7"/>
      <c r="AO3" s="7"/>
      <c r="AP3" s="7" t="str">
        <f aca="false">TEXT(AP5,"MMM")</f>
        <v>Jun</v>
      </c>
      <c r="AQ3" s="7"/>
    </row>
    <row r="4" customFormat="false" ht="14.25" hidden="false" customHeight="true" outlineLevel="0" collapsed="false">
      <c r="C4" s="1" t="s">
        <v>3</v>
      </c>
      <c r="H4" s="8" t="s">
        <v>4</v>
      </c>
      <c r="I4" s="9" t="n">
        <v>1</v>
      </c>
      <c r="J4" s="10" t="n">
        <v>2</v>
      </c>
      <c r="K4" s="9" t="n">
        <v>3</v>
      </c>
      <c r="L4" s="11" t="n">
        <v>4</v>
      </c>
      <c r="M4" s="11" t="n">
        <v>5</v>
      </c>
      <c r="N4" s="11" t="n">
        <v>6</v>
      </c>
      <c r="O4" s="10" t="n">
        <v>7</v>
      </c>
      <c r="P4" s="9" t="n">
        <v>8</v>
      </c>
      <c r="Q4" s="11" t="n">
        <v>9</v>
      </c>
      <c r="R4" s="11" t="n">
        <v>10</v>
      </c>
      <c r="S4" s="10" t="n">
        <v>11</v>
      </c>
      <c r="T4" s="9" t="n">
        <v>12</v>
      </c>
      <c r="U4" s="11" t="n">
        <v>13</v>
      </c>
      <c r="V4" s="11" t="n">
        <v>14</v>
      </c>
      <c r="W4" s="10" t="n">
        <v>15</v>
      </c>
      <c r="X4" s="9" t="n">
        <v>16</v>
      </c>
      <c r="Y4" s="11" t="n">
        <v>17</v>
      </c>
      <c r="Z4" s="11" t="n">
        <v>18</v>
      </c>
      <c r="AA4" s="10" t="n">
        <v>19</v>
      </c>
      <c r="AB4" s="9" t="n">
        <v>20</v>
      </c>
      <c r="AC4" s="11" t="n">
        <v>21</v>
      </c>
      <c r="AD4" s="11" t="n">
        <v>22</v>
      </c>
      <c r="AE4" s="11" t="n">
        <v>23</v>
      </c>
      <c r="AF4" s="10" t="n">
        <v>24</v>
      </c>
      <c r="AG4" s="9" t="n">
        <v>25</v>
      </c>
      <c r="AH4" s="11" t="n">
        <v>26</v>
      </c>
      <c r="AI4" s="11" t="n">
        <v>27</v>
      </c>
      <c r="AJ4" s="10" t="n">
        <v>28</v>
      </c>
      <c r="AK4" s="9" t="n">
        <v>29</v>
      </c>
      <c r="AL4" s="11" t="n">
        <v>30</v>
      </c>
      <c r="AM4" s="11" t="n">
        <v>31</v>
      </c>
      <c r="AN4" s="11" t="n">
        <v>32</v>
      </c>
      <c r="AO4" s="10" t="n">
        <v>33</v>
      </c>
      <c r="AP4" s="9" t="n">
        <v>34</v>
      </c>
      <c r="AQ4" s="10" t="n">
        <v>35</v>
      </c>
    </row>
    <row r="5" customFormat="false" ht="14.25" hidden="false" customHeight="true" outlineLevel="0" collapsed="false">
      <c r="H5" s="12" t="s">
        <v>5</v>
      </c>
      <c r="I5" s="13" t="n">
        <v>46314</v>
      </c>
      <c r="J5" s="14" t="n">
        <f aca="false">I5+7</f>
        <v>46321</v>
      </c>
      <c r="K5" s="13" t="n">
        <f aca="false">J5+7</f>
        <v>46328</v>
      </c>
      <c r="L5" s="15" t="n">
        <f aca="false">K5+7</f>
        <v>46335</v>
      </c>
      <c r="M5" s="16" t="n">
        <f aca="false">L5+7</f>
        <v>46342</v>
      </c>
      <c r="N5" s="17" t="n">
        <f aca="false">M5+7</f>
        <v>46349</v>
      </c>
      <c r="O5" s="18" t="n">
        <f aca="false">N5+7</f>
        <v>46356</v>
      </c>
      <c r="P5" s="13" t="n">
        <f aca="false">O5+7</f>
        <v>46363</v>
      </c>
      <c r="Q5" s="15" t="n">
        <f aca="false">P5+7</f>
        <v>46370</v>
      </c>
      <c r="R5" s="16" t="n">
        <f aca="false">Q5+7</f>
        <v>46377</v>
      </c>
      <c r="S5" s="14" t="n">
        <f aca="false">R5+7</f>
        <v>46384</v>
      </c>
      <c r="T5" s="13" t="n">
        <f aca="false">S5+7</f>
        <v>46391</v>
      </c>
      <c r="U5" s="15" t="n">
        <f aca="false">T5+7</f>
        <v>46398</v>
      </c>
      <c r="V5" s="16" t="n">
        <f aca="false">U5+7</f>
        <v>46405</v>
      </c>
      <c r="W5" s="14" t="n">
        <f aca="false">V5+7</f>
        <v>46412</v>
      </c>
      <c r="X5" s="13" t="n">
        <f aca="false">W5+7</f>
        <v>46419</v>
      </c>
      <c r="Y5" s="15" t="n">
        <f aca="false">X5+7</f>
        <v>46426</v>
      </c>
      <c r="Z5" s="16" t="n">
        <f aca="false">Y5+7</f>
        <v>46433</v>
      </c>
      <c r="AA5" s="14" t="n">
        <f aca="false">Z5+7</f>
        <v>46440</v>
      </c>
      <c r="AB5" s="13" t="n">
        <f aca="false">AA5+7</f>
        <v>46447</v>
      </c>
      <c r="AC5" s="15" t="n">
        <f aca="false">AB5+7</f>
        <v>46454</v>
      </c>
      <c r="AD5" s="16" t="n">
        <f aca="false">AC5+7</f>
        <v>46461</v>
      </c>
      <c r="AE5" s="17" t="n">
        <f aca="false">AD5+7</f>
        <v>46468</v>
      </c>
      <c r="AF5" s="18" t="n">
        <f aca="false">AE5+7</f>
        <v>46475</v>
      </c>
      <c r="AG5" s="13" t="n">
        <f aca="false">AF5+7</f>
        <v>46482</v>
      </c>
      <c r="AH5" s="15" t="n">
        <f aca="false">AG5+7</f>
        <v>46489</v>
      </c>
      <c r="AI5" s="16" t="n">
        <f aca="false">AH5+7</f>
        <v>46496</v>
      </c>
      <c r="AJ5" s="14" t="n">
        <f aca="false">AI5+7</f>
        <v>46503</v>
      </c>
      <c r="AK5" s="13" t="n">
        <f aca="false">AJ5+7</f>
        <v>46510</v>
      </c>
      <c r="AL5" s="15" t="n">
        <f aca="false">AK5+7</f>
        <v>46517</v>
      </c>
      <c r="AM5" s="16" t="n">
        <f aca="false">AL5+7</f>
        <v>46524</v>
      </c>
      <c r="AN5" s="17" t="n">
        <f aca="false">AM5+7</f>
        <v>46531</v>
      </c>
      <c r="AO5" s="18" t="n">
        <f aca="false">AN5+7</f>
        <v>46538</v>
      </c>
      <c r="AP5" s="13" t="n">
        <f aca="false">AO5+7</f>
        <v>46545</v>
      </c>
      <c r="AQ5" s="14" t="n">
        <f aca="false">AP5+7</f>
        <v>46552</v>
      </c>
      <c r="AS5" s="19" t="s">
        <v>6</v>
      </c>
      <c r="AT5" s="20" t="s">
        <v>7</v>
      </c>
      <c r="AU5" s="21" t="s">
        <v>8</v>
      </c>
    </row>
    <row r="6" customFormat="false" ht="21" hidden="false" customHeight="true" outlineLevel="0" collapsed="false">
      <c r="C6" s="22" t="s">
        <v>9</v>
      </c>
      <c r="D6" s="22" t="s">
        <v>10</v>
      </c>
      <c r="E6" s="22" t="s">
        <v>11</v>
      </c>
      <c r="F6" s="23" t="s">
        <v>12</v>
      </c>
      <c r="G6" s="23" t="s">
        <v>13</v>
      </c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S6" s="9"/>
      <c r="AT6" s="26"/>
      <c r="AU6" s="27"/>
    </row>
    <row r="7" customFormat="false" ht="24.75" hidden="false" customHeight="true" outlineLevel="0" collapsed="false">
      <c r="C7" s="28" t="s">
        <v>14</v>
      </c>
      <c r="D7" s="28"/>
      <c r="E7" s="29"/>
      <c r="F7" s="30"/>
      <c r="G7" s="30"/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3"/>
      <c r="AS7" s="9"/>
      <c r="AT7" s="26"/>
      <c r="AU7" s="27"/>
    </row>
    <row r="8" customFormat="false" ht="21" hidden="false" customHeight="true" outlineLevel="0" collapsed="false">
      <c r="C8" s="34" t="s">
        <v>15</v>
      </c>
      <c r="D8" s="34" t="s">
        <v>16</v>
      </c>
      <c r="E8" s="35" t="n">
        <v>1</v>
      </c>
      <c r="F8" s="36" t="n">
        <v>46314</v>
      </c>
      <c r="G8" s="36" t="n">
        <v>46320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3"/>
      <c r="AS8" s="9" t="n">
        <f aca="false">ROUNDUP((G8-F8+1)/7,0)</f>
        <v>1</v>
      </c>
      <c r="AT8" s="26" t="n">
        <f aca="false">AS8*$D$50</f>
        <v>3</v>
      </c>
      <c r="AU8" s="27" t="n">
        <f aca="false">AT8*$D$51</f>
        <v>45</v>
      </c>
    </row>
    <row r="9" customFormat="false" ht="21" hidden="false" customHeight="true" outlineLevel="0" collapsed="false">
      <c r="C9" s="34" t="s">
        <v>17</v>
      </c>
      <c r="D9" s="34" t="s">
        <v>18</v>
      </c>
      <c r="E9" s="35" t="n">
        <v>0</v>
      </c>
      <c r="F9" s="36" t="n">
        <v>46321</v>
      </c>
      <c r="G9" s="36" t="n">
        <v>46334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3"/>
      <c r="AS9" s="9" t="n">
        <f aca="false">ROUNDUP((G9-F9+1)/7,0)</f>
        <v>2</v>
      </c>
      <c r="AT9" s="26" t="n">
        <f aca="false">AS9*$D$50</f>
        <v>6</v>
      </c>
      <c r="AU9" s="27" t="n">
        <f aca="false">AT9*$D$51</f>
        <v>90</v>
      </c>
    </row>
    <row r="10" customFormat="false" ht="21" hidden="false" customHeight="true" outlineLevel="0" collapsed="false">
      <c r="C10" s="34" t="s">
        <v>19</v>
      </c>
      <c r="D10" s="34" t="s">
        <v>20</v>
      </c>
      <c r="E10" s="35" t="n">
        <v>0.4</v>
      </c>
      <c r="F10" s="36" t="n">
        <v>46314</v>
      </c>
      <c r="G10" s="36" t="n">
        <v>46341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3"/>
      <c r="AS10" s="9" t="n">
        <f aca="false">ROUNDUP((G10-F10+1)/7,0)</f>
        <v>4</v>
      </c>
      <c r="AT10" s="26" t="n">
        <f aca="false">AS10*$D$50</f>
        <v>12</v>
      </c>
      <c r="AU10" s="27" t="n">
        <f aca="false">AT10*$D$51</f>
        <v>180</v>
      </c>
    </row>
    <row r="11" customFormat="false" ht="21" hidden="false" customHeight="true" outlineLevel="0" collapsed="false">
      <c r="C11" s="34" t="s">
        <v>21</v>
      </c>
      <c r="D11" s="34" t="s">
        <v>22</v>
      </c>
      <c r="E11" s="35" t="n">
        <v>0.1</v>
      </c>
      <c r="F11" s="36" t="n">
        <v>46321</v>
      </c>
      <c r="G11" s="36" t="n">
        <v>46348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3"/>
      <c r="AS11" s="9" t="n">
        <f aca="false">ROUNDUP((G11-F11+1)/7,0)</f>
        <v>4</v>
      </c>
      <c r="AT11" s="26" t="n">
        <f aca="false">AS11*$D$50</f>
        <v>12</v>
      </c>
      <c r="AU11" s="27" t="n">
        <f aca="false">AT11*$D$51</f>
        <v>180</v>
      </c>
    </row>
    <row r="12" customFormat="false" ht="24.75" hidden="false" customHeight="true" outlineLevel="0" collapsed="false">
      <c r="C12" s="28" t="s">
        <v>23</v>
      </c>
      <c r="D12" s="28"/>
      <c r="E12" s="29"/>
      <c r="F12" s="30"/>
      <c r="G12" s="30"/>
      <c r="H12" s="31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3"/>
      <c r="AS12" s="9"/>
      <c r="AT12" s="26"/>
      <c r="AU12" s="27"/>
    </row>
    <row r="13" customFormat="false" ht="21" hidden="false" customHeight="true" outlineLevel="0" collapsed="false">
      <c r="C13" s="34" t="s">
        <v>24</v>
      </c>
      <c r="D13" s="34" t="s">
        <v>16</v>
      </c>
      <c r="E13" s="35" t="n">
        <v>0</v>
      </c>
      <c r="F13" s="36" t="n">
        <v>46335</v>
      </c>
      <c r="G13" s="36" t="n">
        <v>46348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3"/>
      <c r="AS13" s="9" t="n">
        <f aca="false">ROUNDUP((G13-F13+1)/7,0)</f>
        <v>2</v>
      </c>
      <c r="AT13" s="26" t="n">
        <f aca="false">AS13*$D$50</f>
        <v>6</v>
      </c>
      <c r="AU13" s="27" t="n">
        <f aca="false">AT13*$D$51</f>
        <v>90</v>
      </c>
    </row>
    <row r="14" customFormat="false" ht="21" hidden="false" customHeight="true" outlineLevel="0" collapsed="false">
      <c r="C14" s="34" t="s">
        <v>25</v>
      </c>
      <c r="D14" s="34" t="s">
        <v>18</v>
      </c>
      <c r="E14" s="35" t="n">
        <v>0</v>
      </c>
      <c r="F14" s="36" t="n">
        <v>46335</v>
      </c>
      <c r="G14" s="36" t="n">
        <v>46355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3"/>
      <c r="AS14" s="9" t="n">
        <f aca="false">ROUNDUP((G14-F14+1)/7,0)</f>
        <v>3</v>
      </c>
      <c r="AT14" s="26" t="n">
        <f aca="false">AS14*$D$50</f>
        <v>9</v>
      </c>
      <c r="AU14" s="27" t="n">
        <f aca="false">AT14*$D$51</f>
        <v>135</v>
      </c>
    </row>
    <row r="15" customFormat="false" ht="21" hidden="false" customHeight="true" outlineLevel="0" collapsed="false">
      <c r="C15" s="34" t="s">
        <v>26</v>
      </c>
      <c r="D15" s="34" t="s">
        <v>20</v>
      </c>
      <c r="E15" s="35" t="n">
        <v>0</v>
      </c>
      <c r="F15" s="36" t="n">
        <v>46342</v>
      </c>
      <c r="G15" s="36" t="n">
        <v>46362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3"/>
      <c r="AS15" s="9" t="n">
        <f aca="false">ROUNDUP((G15-F15+1)/7,0)</f>
        <v>3</v>
      </c>
      <c r="AT15" s="26" t="n">
        <f aca="false">AS15*$D$50</f>
        <v>9</v>
      </c>
      <c r="AU15" s="27" t="n">
        <f aca="false">AT15*$D$51</f>
        <v>135</v>
      </c>
    </row>
    <row r="16" customFormat="false" ht="21" hidden="false" customHeight="true" outlineLevel="0" collapsed="false">
      <c r="C16" s="34" t="s">
        <v>27</v>
      </c>
      <c r="D16" s="34" t="s">
        <v>22</v>
      </c>
      <c r="E16" s="35" t="n">
        <v>0</v>
      </c>
      <c r="F16" s="36" t="n">
        <v>46349</v>
      </c>
      <c r="G16" s="36" t="n">
        <v>46369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3"/>
      <c r="AS16" s="9" t="n">
        <f aca="false">ROUNDUP((G16-F16+1)/7,0)</f>
        <v>3</v>
      </c>
      <c r="AT16" s="26" t="n">
        <f aca="false">AS16*$D$50</f>
        <v>9</v>
      </c>
      <c r="AU16" s="27" t="n">
        <f aca="false">AT16*$D$51</f>
        <v>135</v>
      </c>
    </row>
    <row r="17" customFormat="false" ht="21" hidden="false" customHeight="true" outlineLevel="0" collapsed="false">
      <c r="C17" s="34" t="s">
        <v>28</v>
      </c>
      <c r="D17" s="34" t="s">
        <v>20</v>
      </c>
      <c r="E17" s="35" t="n">
        <v>0</v>
      </c>
      <c r="F17" s="36" t="n">
        <v>46363</v>
      </c>
      <c r="G17" s="36" t="n">
        <v>46376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3"/>
      <c r="AS17" s="9" t="n">
        <f aca="false">ROUNDUP((G17-F17+1)/7,0)</f>
        <v>2</v>
      </c>
      <c r="AT17" s="26" t="n">
        <f aca="false">AS17*$D$50</f>
        <v>6</v>
      </c>
      <c r="AU17" s="27" t="n">
        <f aca="false">AT17*$D$51</f>
        <v>90</v>
      </c>
    </row>
    <row r="18" customFormat="false" ht="24.75" hidden="false" customHeight="true" outlineLevel="0" collapsed="false">
      <c r="C18" s="28" t="s">
        <v>29</v>
      </c>
      <c r="D18" s="28"/>
      <c r="E18" s="29"/>
      <c r="F18" s="30"/>
      <c r="G18" s="30"/>
      <c r="H18" s="31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3"/>
      <c r="AS18" s="9"/>
      <c r="AT18" s="26"/>
      <c r="AU18" s="27"/>
    </row>
    <row r="19" customFormat="false" ht="21" hidden="false" customHeight="true" outlineLevel="0" collapsed="false">
      <c r="C19" s="34" t="s">
        <v>30</v>
      </c>
      <c r="D19" s="34" t="s">
        <v>16</v>
      </c>
      <c r="E19" s="35" t="n">
        <v>0</v>
      </c>
      <c r="F19" s="36" t="n">
        <v>46370</v>
      </c>
      <c r="G19" s="36" t="n">
        <v>46404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3"/>
      <c r="AS19" s="9" t="n">
        <f aca="false">ROUNDUP((G19-F19+1)/7,0)</f>
        <v>5</v>
      </c>
      <c r="AT19" s="26" t="n">
        <f aca="false">AS19*$D$50</f>
        <v>15</v>
      </c>
      <c r="AU19" s="27" t="n">
        <f aca="false">AT19*$D$51</f>
        <v>225</v>
      </c>
    </row>
    <row r="20" customFormat="false" ht="21" hidden="false" customHeight="true" outlineLevel="0" collapsed="false">
      <c r="C20" s="34" t="s">
        <v>31</v>
      </c>
      <c r="D20" s="34" t="s">
        <v>20</v>
      </c>
      <c r="E20" s="35" t="n">
        <v>0</v>
      </c>
      <c r="F20" s="36" t="n">
        <v>46398</v>
      </c>
      <c r="G20" s="36" t="n">
        <v>46418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3"/>
      <c r="AS20" s="9" t="n">
        <f aca="false">ROUNDUP((G20-F20+1)/7,0)</f>
        <v>3</v>
      </c>
      <c r="AT20" s="26" t="n">
        <f aca="false">AS20*$D$50</f>
        <v>9</v>
      </c>
      <c r="AU20" s="27" t="n">
        <f aca="false">AT20*$D$51</f>
        <v>135</v>
      </c>
    </row>
    <row r="21" customFormat="false" ht="21" hidden="false" customHeight="true" outlineLevel="0" collapsed="false">
      <c r="C21" s="34" t="s">
        <v>32</v>
      </c>
      <c r="D21" s="34" t="s">
        <v>20</v>
      </c>
      <c r="E21" s="35" t="n">
        <v>0</v>
      </c>
      <c r="F21" s="36" t="n">
        <v>46405</v>
      </c>
      <c r="G21" s="36" t="n">
        <v>46432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3"/>
      <c r="AS21" s="9" t="n">
        <f aca="false">ROUNDUP((G21-F21+1)/7,0)</f>
        <v>4</v>
      </c>
      <c r="AT21" s="26" t="n">
        <f aca="false">AS21*$D$50</f>
        <v>12</v>
      </c>
      <c r="AU21" s="27" t="n">
        <f aca="false">AT21*$D$51</f>
        <v>180</v>
      </c>
    </row>
    <row r="22" customFormat="false" ht="21" hidden="false" customHeight="true" outlineLevel="0" collapsed="false">
      <c r="C22" s="34" t="s">
        <v>33</v>
      </c>
      <c r="D22" s="34" t="s">
        <v>16</v>
      </c>
      <c r="E22" s="35" t="n">
        <v>0</v>
      </c>
      <c r="F22" s="36" t="n">
        <v>46412</v>
      </c>
      <c r="G22" s="36" t="n">
        <v>46439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3"/>
      <c r="AS22" s="9" t="n">
        <f aca="false">ROUNDUP((G22-F22+1)/7,0)</f>
        <v>4</v>
      </c>
      <c r="AT22" s="26" t="n">
        <f aca="false">AS22*$D$50</f>
        <v>12</v>
      </c>
      <c r="AU22" s="27" t="n">
        <f aca="false">AT22*$D$51</f>
        <v>180</v>
      </c>
    </row>
    <row r="23" customFormat="false" ht="21" hidden="false" customHeight="true" outlineLevel="0" collapsed="false">
      <c r="C23" s="34" t="s">
        <v>34</v>
      </c>
      <c r="D23" s="34" t="s">
        <v>22</v>
      </c>
      <c r="E23" s="35" t="n">
        <v>0</v>
      </c>
      <c r="F23" s="36" t="n">
        <v>46433</v>
      </c>
      <c r="G23" s="36" t="n">
        <v>46453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3"/>
      <c r="AS23" s="9" t="n">
        <f aca="false">ROUNDUP((G23-F23+1)/7,0)</f>
        <v>3</v>
      </c>
      <c r="AT23" s="26" t="n">
        <f aca="false">AS23*$D$50</f>
        <v>9</v>
      </c>
      <c r="AU23" s="27" t="n">
        <f aca="false">AT23*$D$51</f>
        <v>135</v>
      </c>
    </row>
    <row r="24" customFormat="false" ht="21" hidden="false" customHeight="true" outlineLevel="0" collapsed="false">
      <c r="C24" s="34" t="s">
        <v>35</v>
      </c>
      <c r="D24" s="34" t="s">
        <v>22</v>
      </c>
      <c r="E24" s="35" t="n">
        <v>0</v>
      </c>
      <c r="F24" s="36" t="n">
        <v>46440</v>
      </c>
      <c r="G24" s="36" t="n">
        <v>46460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3"/>
      <c r="AS24" s="9" t="n">
        <f aca="false">ROUNDUP((G24-F24+1)/7,0)</f>
        <v>3</v>
      </c>
      <c r="AT24" s="26" t="n">
        <f aca="false">AS24*$D$50</f>
        <v>9</v>
      </c>
      <c r="AU24" s="27" t="n">
        <f aca="false">AT24*$D$51</f>
        <v>135</v>
      </c>
    </row>
    <row r="25" customFormat="false" ht="24.75" hidden="false" customHeight="true" outlineLevel="0" collapsed="false">
      <c r="C25" s="28" t="s">
        <v>36</v>
      </c>
      <c r="D25" s="28"/>
      <c r="E25" s="29"/>
      <c r="F25" s="30"/>
      <c r="G25" s="30"/>
      <c r="H25" s="31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3"/>
      <c r="AS25" s="9"/>
      <c r="AT25" s="26"/>
      <c r="AU25" s="27"/>
    </row>
    <row r="26" customFormat="false" ht="21" hidden="false" customHeight="true" outlineLevel="0" collapsed="false">
      <c r="C26" s="34" t="s">
        <v>37</v>
      </c>
      <c r="D26" s="34" t="s">
        <v>16</v>
      </c>
      <c r="E26" s="35" t="n">
        <v>0</v>
      </c>
      <c r="F26" s="36" t="n">
        <v>46454</v>
      </c>
      <c r="G26" s="36" t="n">
        <v>46474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3"/>
      <c r="AS26" s="9" t="n">
        <f aca="false">ROUNDUP((G26-F26+1)/7,0)</f>
        <v>3</v>
      </c>
      <c r="AT26" s="26" t="n">
        <f aca="false">AS26*$D$50</f>
        <v>9</v>
      </c>
      <c r="AU26" s="27" t="n">
        <f aca="false">AT26*$D$51</f>
        <v>135</v>
      </c>
    </row>
    <row r="27" customFormat="false" ht="21" hidden="false" customHeight="true" outlineLevel="0" collapsed="false">
      <c r="C27" s="34" t="s">
        <v>38</v>
      </c>
      <c r="D27" s="34" t="s">
        <v>22</v>
      </c>
      <c r="E27" s="35" t="n">
        <v>0</v>
      </c>
      <c r="F27" s="36" t="n">
        <v>46461</v>
      </c>
      <c r="G27" s="36" t="n">
        <v>46488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3"/>
      <c r="AS27" s="9" t="n">
        <f aca="false">ROUNDUP((G27-F27+1)/7,0)</f>
        <v>4</v>
      </c>
      <c r="AT27" s="26" t="n">
        <f aca="false">AS27*$D$50</f>
        <v>12</v>
      </c>
      <c r="AU27" s="27" t="n">
        <f aca="false">AT27*$D$51</f>
        <v>180</v>
      </c>
    </row>
    <row r="28" customFormat="false" ht="21" hidden="false" customHeight="true" outlineLevel="0" collapsed="false">
      <c r="C28" s="34" t="s">
        <v>39</v>
      </c>
      <c r="D28" s="34" t="s">
        <v>20</v>
      </c>
      <c r="E28" s="35" t="n">
        <v>0</v>
      </c>
      <c r="F28" s="36" t="n">
        <v>46475</v>
      </c>
      <c r="G28" s="36" t="n">
        <v>46495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3"/>
      <c r="AS28" s="9" t="n">
        <f aca="false">ROUNDUP((G28-F28+1)/7,0)</f>
        <v>3</v>
      </c>
      <c r="AT28" s="26" t="n">
        <f aca="false">AS28*$D$50</f>
        <v>9</v>
      </c>
      <c r="AU28" s="27" t="n">
        <f aca="false">AT28*$D$51</f>
        <v>135</v>
      </c>
    </row>
    <row r="29" customFormat="false" ht="21" hidden="false" customHeight="true" outlineLevel="0" collapsed="false">
      <c r="C29" s="34" t="s">
        <v>40</v>
      </c>
      <c r="D29" s="34" t="s">
        <v>16</v>
      </c>
      <c r="E29" s="35" t="n">
        <v>0</v>
      </c>
      <c r="F29" s="36" t="n">
        <v>46475</v>
      </c>
      <c r="G29" s="36" t="n">
        <v>46495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3"/>
      <c r="AS29" s="9" t="n">
        <f aca="false">ROUNDUP((G29-F29+1)/7,0)</f>
        <v>3</v>
      </c>
      <c r="AT29" s="26" t="n">
        <f aca="false">AS29*$D$50</f>
        <v>9</v>
      </c>
      <c r="AU29" s="27" t="n">
        <f aca="false">AT29*$D$51</f>
        <v>135</v>
      </c>
    </row>
    <row r="30" customFormat="false" ht="24.75" hidden="false" customHeight="true" outlineLevel="0" collapsed="false">
      <c r="C30" s="28" t="s">
        <v>41</v>
      </c>
      <c r="D30" s="28"/>
      <c r="E30" s="29"/>
      <c r="F30" s="30"/>
      <c r="G30" s="30"/>
      <c r="H30" s="31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S30" s="9"/>
      <c r="AT30" s="26"/>
      <c r="AU30" s="27"/>
    </row>
    <row r="31" customFormat="false" ht="21" hidden="false" customHeight="true" outlineLevel="0" collapsed="false">
      <c r="C31" s="34" t="s">
        <v>42</v>
      </c>
      <c r="D31" s="34" t="s">
        <v>22</v>
      </c>
      <c r="E31" s="35" t="n">
        <v>0</v>
      </c>
      <c r="F31" s="36" t="n">
        <v>46489</v>
      </c>
      <c r="G31" s="36" t="n">
        <v>46509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3"/>
      <c r="AS31" s="9" t="n">
        <f aca="false">ROUNDUP((G31-F31+1)/7,0)</f>
        <v>3</v>
      </c>
      <c r="AT31" s="26" t="n">
        <f aca="false">AS31*$D$50</f>
        <v>9</v>
      </c>
      <c r="AU31" s="27" t="n">
        <f aca="false">AT31*$D$51</f>
        <v>135</v>
      </c>
    </row>
    <row r="32" customFormat="false" ht="21" hidden="false" customHeight="true" outlineLevel="0" collapsed="false">
      <c r="C32" s="34" t="s">
        <v>43</v>
      </c>
      <c r="D32" s="34" t="s">
        <v>20</v>
      </c>
      <c r="E32" s="35" t="n">
        <v>0</v>
      </c>
      <c r="F32" s="36" t="n">
        <v>46489</v>
      </c>
      <c r="G32" s="36" t="n">
        <v>46516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3"/>
      <c r="AS32" s="9" t="n">
        <f aca="false">ROUNDUP((G32-F32+1)/7,0)</f>
        <v>4</v>
      </c>
      <c r="AT32" s="26" t="n">
        <f aca="false">AS32*$D$50</f>
        <v>12</v>
      </c>
      <c r="AU32" s="27" t="n">
        <f aca="false">AT32*$D$51</f>
        <v>180</v>
      </c>
    </row>
    <row r="33" customFormat="false" ht="21" hidden="false" customHeight="true" outlineLevel="0" collapsed="false">
      <c r="C33" s="34" t="s">
        <v>44</v>
      </c>
      <c r="D33" s="34" t="s">
        <v>16</v>
      </c>
      <c r="E33" s="35" t="n">
        <v>0</v>
      </c>
      <c r="F33" s="36" t="n">
        <v>46496</v>
      </c>
      <c r="G33" s="36" t="n">
        <v>46516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3"/>
      <c r="AS33" s="9" t="n">
        <f aca="false">ROUNDUP((G33-F33+1)/7,0)</f>
        <v>3</v>
      </c>
      <c r="AT33" s="26" t="n">
        <f aca="false">AS33*$D$50</f>
        <v>9</v>
      </c>
      <c r="AU33" s="27" t="n">
        <f aca="false">AT33*$D$51</f>
        <v>135</v>
      </c>
    </row>
    <row r="34" customFormat="false" ht="21" hidden="false" customHeight="true" outlineLevel="0" collapsed="false">
      <c r="C34" s="34" t="s">
        <v>45</v>
      </c>
      <c r="D34" s="34" t="s">
        <v>22</v>
      </c>
      <c r="E34" s="35" t="n">
        <v>0</v>
      </c>
      <c r="F34" s="36" t="n">
        <v>46496</v>
      </c>
      <c r="G34" s="36" t="n">
        <v>46516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3"/>
      <c r="AS34" s="9" t="n">
        <f aca="false">ROUNDUP((G34-F34+1)/7,0)</f>
        <v>3</v>
      </c>
      <c r="AT34" s="26" t="n">
        <f aca="false">AS34*$D$50</f>
        <v>9</v>
      </c>
      <c r="AU34" s="27" t="n">
        <f aca="false">AT34*$D$51</f>
        <v>135</v>
      </c>
    </row>
    <row r="35" customFormat="false" ht="21" hidden="false" customHeight="true" outlineLevel="0" collapsed="false">
      <c r="C35" s="34" t="s">
        <v>46</v>
      </c>
      <c r="D35" s="34" t="s">
        <v>16</v>
      </c>
      <c r="E35" s="35" t="n">
        <v>0</v>
      </c>
      <c r="F35" s="36" t="n">
        <v>46503</v>
      </c>
      <c r="G35" s="36" t="n">
        <v>46523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3"/>
      <c r="AS35" s="9" t="n">
        <f aca="false">ROUNDUP((G35-F35+1)/7,0)</f>
        <v>3</v>
      </c>
      <c r="AT35" s="26" t="n">
        <f aca="false">AS35*$D$50</f>
        <v>9</v>
      </c>
      <c r="AU35" s="27" t="n">
        <f aca="false">AT35*$D$51</f>
        <v>135</v>
      </c>
    </row>
    <row r="36" customFormat="false" ht="24.75" hidden="false" customHeight="true" outlineLevel="0" collapsed="false">
      <c r="C36" s="28" t="s">
        <v>47</v>
      </c>
      <c r="D36" s="28"/>
      <c r="E36" s="29"/>
      <c r="F36" s="30"/>
      <c r="G36" s="30"/>
      <c r="H36" s="31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3"/>
      <c r="AS36" s="9"/>
      <c r="AT36" s="26"/>
      <c r="AU36" s="27"/>
    </row>
    <row r="37" customFormat="false" ht="21" hidden="false" customHeight="true" outlineLevel="0" collapsed="false">
      <c r="C37" s="34" t="s">
        <v>48</v>
      </c>
      <c r="D37" s="34" t="s">
        <v>18</v>
      </c>
      <c r="E37" s="35" t="n">
        <v>0</v>
      </c>
      <c r="F37" s="36" t="n">
        <v>46517</v>
      </c>
      <c r="G37" s="36" t="n">
        <v>46537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3"/>
      <c r="AS37" s="9" t="n">
        <f aca="false">ROUNDUP((G37-F37+1)/7,0)</f>
        <v>3</v>
      </c>
      <c r="AT37" s="26" t="n">
        <f aca="false">AS37*$D$50</f>
        <v>9</v>
      </c>
      <c r="AU37" s="27" t="n">
        <f aca="false">AT37*$D$51</f>
        <v>135</v>
      </c>
    </row>
    <row r="38" customFormat="false" ht="21" hidden="false" customHeight="true" outlineLevel="0" collapsed="false">
      <c r="C38" s="34" t="s">
        <v>49</v>
      </c>
      <c r="D38" s="34" t="s">
        <v>18</v>
      </c>
      <c r="E38" s="35" t="n">
        <v>0</v>
      </c>
      <c r="F38" s="36" t="n">
        <v>46524</v>
      </c>
      <c r="G38" s="36" t="n">
        <v>46544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3"/>
      <c r="AS38" s="9" t="n">
        <f aca="false">ROUNDUP((G38-F38+1)/7,0)</f>
        <v>3</v>
      </c>
      <c r="AT38" s="26" t="n">
        <f aca="false">AS38*$D$50</f>
        <v>9</v>
      </c>
      <c r="AU38" s="27" t="n">
        <f aca="false">AT38*$D$51</f>
        <v>135</v>
      </c>
    </row>
    <row r="39" customFormat="false" ht="21" hidden="false" customHeight="true" outlineLevel="0" collapsed="false">
      <c r="C39" s="34" t="s">
        <v>50</v>
      </c>
      <c r="D39" s="34" t="s">
        <v>18</v>
      </c>
      <c r="E39" s="35" t="n">
        <v>0</v>
      </c>
      <c r="F39" s="36" t="n">
        <v>46531</v>
      </c>
      <c r="G39" s="36" t="n">
        <v>46544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3"/>
      <c r="AS39" s="9" t="n">
        <f aca="false">ROUNDUP((G39-F39+1)/7,0)</f>
        <v>2</v>
      </c>
      <c r="AT39" s="26" t="n">
        <f aca="false">AS39*$D$50</f>
        <v>6</v>
      </c>
      <c r="AU39" s="27" t="n">
        <f aca="false">AT39*$D$51</f>
        <v>90</v>
      </c>
    </row>
    <row r="40" customFormat="false" ht="21" hidden="false" customHeight="true" outlineLevel="0" collapsed="false">
      <c r="C40" s="34" t="s">
        <v>51</v>
      </c>
      <c r="D40" s="34" t="s">
        <v>18</v>
      </c>
      <c r="E40" s="35" t="n">
        <v>0</v>
      </c>
      <c r="F40" s="36" t="n">
        <v>46538</v>
      </c>
      <c r="G40" s="36" t="n">
        <v>46551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3"/>
      <c r="AS40" s="9" t="n">
        <f aca="false">ROUNDUP((G40-F40+1)/7,0)</f>
        <v>2</v>
      </c>
      <c r="AT40" s="26" t="n">
        <f aca="false">AS40*$D$50</f>
        <v>6</v>
      </c>
      <c r="AU40" s="27" t="n">
        <f aca="false">AT40*$D$51</f>
        <v>90</v>
      </c>
    </row>
    <row r="41" customFormat="false" ht="14.25" hidden="false" customHeight="false" outlineLevel="0" collapsed="false">
      <c r="AS41" s="9"/>
      <c r="AT41" s="26"/>
      <c r="AU41" s="27"/>
    </row>
    <row r="42" customFormat="false" ht="14.25" hidden="false" customHeight="false" outlineLevel="0" collapsed="false">
      <c r="AS42" s="9"/>
      <c r="AT42" s="26"/>
      <c r="AU42" s="27"/>
    </row>
    <row r="43" customFormat="false" ht="14.25" hidden="false" customHeight="false" outlineLevel="0" collapsed="false">
      <c r="AS43" s="9"/>
      <c r="AT43" s="26"/>
      <c r="AU43" s="27"/>
    </row>
    <row r="44" customFormat="false" ht="18" hidden="false" customHeight="true" outlineLevel="0" collapsed="false">
      <c r="C44" s="38" t="s">
        <v>52</v>
      </c>
      <c r="D44" s="39" t="s">
        <v>16</v>
      </c>
      <c r="E44" s="39"/>
      <c r="F44" s="39"/>
      <c r="AS44" s="40" t="n">
        <f aca="false">SUM(AS7:AS40)</f>
        <v>85</v>
      </c>
      <c r="AT44" s="41" t="n">
        <f aca="false">SUM(AT7:AT40)</f>
        <v>255</v>
      </c>
      <c r="AU44" s="42" t="n">
        <f aca="false">SUM(AU7:AU40)</f>
        <v>3825</v>
      </c>
    </row>
    <row r="45" customFormat="false" ht="14.25" hidden="false" customHeight="true" outlineLevel="0" collapsed="false">
      <c r="C45" s="43"/>
      <c r="D45" s="39" t="s">
        <v>20</v>
      </c>
      <c r="E45" s="39"/>
      <c r="F45" s="39"/>
    </row>
    <row r="46" customFormat="false" ht="14.25" hidden="false" customHeight="true" outlineLevel="0" collapsed="false">
      <c r="C46" s="43"/>
      <c r="D46" s="39" t="s">
        <v>22</v>
      </c>
      <c r="E46" s="39"/>
      <c r="F46" s="39"/>
      <c r="J46" s="44"/>
      <c r="K46" s="44"/>
      <c r="L46" s="44"/>
    </row>
    <row r="47" customFormat="false" ht="14.25" hidden="false" customHeight="true" outlineLevel="0" collapsed="false">
      <c r="C47" s="43"/>
      <c r="D47" s="39"/>
      <c r="E47" s="39"/>
      <c r="F47" s="39"/>
      <c r="J47" s="44"/>
      <c r="K47" s="44"/>
      <c r="L47" s="44"/>
    </row>
    <row r="48" customFormat="false" ht="14.25" hidden="false" customHeight="true" outlineLevel="0" collapsed="false">
      <c r="C48" s="43"/>
      <c r="D48" s="2"/>
      <c r="E48" s="2"/>
      <c r="F48" s="45"/>
      <c r="J48" s="44"/>
      <c r="K48" s="44"/>
      <c r="L48" s="44"/>
    </row>
    <row r="49" customFormat="false" ht="14.25" hidden="false" customHeight="true" outlineLevel="0" collapsed="false">
      <c r="C49" s="43"/>
      <c r="D49" s="2"/>
      <c r="E49" s="2"/>
      <c r="F49" s="45"/>
      <c r="J49" s="44"/>
      <c r="K49" s="44"/>
      <c r="L49" s="44"/>
    </row>
    <row r="50" customFormat="false" ht="14.25" hidden="false" customHeight="true" outlineLevel="0" collapsed="false">
      <c r="C50" s="46" t="s">
        <v>53</v>
      </c>
      <c r="D50" s="47" t="n">
        <v>3</v>
      </c>
      <c r="E50" s="48" t="s">
        <v>54</v>
      </c>
      <c r="F50" s="45"/>
      <c r="J50" s="44"/>
      <c r="K50" s="44"/>
      <c r="L50" s="44"/>
    </row>
    <row r="51" customFormat="false" ht="14.25" hidden="false" customHeight="true" outlineLevel="0" collapsed="false">
      <c r="C51" s="46" t="s">
        <v>55</v>
      </c>
      <c r="D51" s="47" t="n">
        <v>15</v>
      </c>
      <c r="E51" s="48" t="s">
        <v>56</v>
      </c>
      <c r="F51" s="45"/>
      <c r="J51" s="44"/>
      <c r="K51" s="44"/>
      <c r="L51" s="44"/>
    </row>
    <row r="52" customFormat="false" ht="14.25" hidden="false" customHeight="true" outlineLevel="0" collapsed="false">
      <c r="C52" s="46" t="s">
        <v>57</v>
      </c>
      <c r="D52" s="1" t="n">
        <v>25</v>
      </c>
      <c r="E52" s="48" t="s">
        <v>56</v>
      </c>
      <c r="F52" s="49"/>
    </row>
  </sheetData>
  <mergeCells count="15">
    <mergeCell ref="C2:D2"/>
    <mergeCell ref="C3:D3"/>
    <mergeCell ref="I3:J3"/>
    <mergeCell ref="K3:O3"/>
    <mergeCell ref="P3:S3"/>
    <mergeCell ref="T3:W3"/>
    <mergeCell ref="X3:AA3"/>
    <mergeCell ref="AB3:AF3"/>
    <mergeCell ref="AG3:AJ3"/>
    <mergeCell ref="AK3:AO3"/>
    <mergeCell ref="AP3:AQ3"/>
    <mergeCell ref="D44:F44"/>
    <mergeCell ref="D45:F45"/>
    <mergeCell ref="D46:F46"/>
    <mergeCell ref="D47:F47"/>
  </mergeCells>
  <conditionalFormatting sqref="I7:AQ40">
    <cfRule type="expression" priority="2" aboveAverage="0" equalAverage="0" bottom="0" percent="0" rank="0" text="" dxfId="0">
      <formula>AND(I$5&gt;=$F7,I$5&lt;=$F7+$E7*($G7-$F7+1)-1)</formula>
    </cfRule>
    <cfRule type="expression" priority="3" aboveAverage="0" equalAverage="0" bottom="0" percent="0" rank="0" text="" dxfId="1">
      <formula>AND(I$5&gt;=$F7,I$5&lt;=$G7)</formula>
    </cfRule>
  </conditionalFormatting>
  <conditionalFormatting sqref="I5:AQ40">
    <cfRule type="expression" priority="4" aboveAverage="0" equalAverage="0" bottom="0" percent="0" rank="0" text="" dxfId="2">
      <formula>AND(I$5&lt;=TODAY(),I$5+7&gt;TODAY())</formula>
    </cfRule>
  </conditionalFormatting>
  <conditionalFormatting sqref="E7:E40">
    <cfRule type="dataBar" priority="5">
      <dataBar showValue="1" minLength="10" maxLength="90">
        <cfvo type="num" val="0"/>
        <cfvo type="num" val="1"/>
        <color rgb="FFE59EDD"/>
      </dataBar>
      <extLst>
        <ext xmlns:x14="http://schemas.microsoft.com/office/spreadsheetml/2009/9/main" uri="{B025F937-C7B1-47D3-B67F-A62EFF666E3E}">
          <x14:id>{D0871C96-8A5D-4DEC-AFD9-856584FBAC5B}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71C96-8A5D-4DEC-AFD9-856584FBAC5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59EDD"/>
              <x14:axisColor rgb="FF000000"/>
            </x14:dataBar>
          </x14:cfRule>
          <xm:sqref>E7:E40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2025-10-22T05:40:21Z</dcterms:created>
  <dc:creator>Marco Canali</dc:creator>
  <dc:description/>
  <dc:language>en-US</dc:language>
  <cp:lastModifiedBy/>
  <dcterms:modified xsi:type="dcterms:W3CDTF">2026-10-20T10:53:53Z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